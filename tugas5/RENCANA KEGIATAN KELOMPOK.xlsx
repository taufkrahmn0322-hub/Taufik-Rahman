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530965-BF37-44C9-B87F-A8F5A3D5C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G45" i="1"/>
  <c r="F45" i="1"/>
  <c r="E45" i="1"/>
  <c r="D45" i="1"/>
  <c r="K10" i="1"/>
  <c r="G37" i="1"/>
  <c r="F37" i="1"/>
  <c r="E37" i="1"/>
  <c r="D37" i="1"/>
  <c r="C37" i="1"/>
  <c r="K9" i="1"/>
  <c r="G29" i="1"/>
  <c r="F29" i="1"/>
  <c r="E29" i="1"/>
  <c r="D29" i="1"/>
  <c r="K8" i="1"/>
  <c r="G21" i="1"/>
  <c r="F21" i="1"/>
  <c r="E21" i="1"/>
  <c r="D21" i="1"/>
  <c r="K7" i="1"/>
  <c r="G14" i="1"/>
  <c r="F14" i="1"/>
  <c r="E14" i="1"/>
  <c r="D14" i="1"/>
  <c r="C14" i="1"/>
  <c r="K6" i="1"/>
  <c r="G6" i="1"/>
  <c r="F6" i="1"/>
  <c r="E6" i="1"/>
  <c r="D6" i="1"/>
</calcChain>
</file>

<file path=xl/sharedStrings.xml><?xml version="1.0" encoding="utf-8"?>
<sst xmlns="http://schemas.openxmlformats.org/spreadsheetml/2006/main" count="59" uniqueCount="21">
  <si>
    <t>Performance</t>
  </si>
  <si>
    <t>Penilaian</t>
  </si>
  <si>
    <t>STS(1)</t>
  </si>
  <si>
    <t>TS (2)</t>
  </si>
  <si>
    <t>N (3)</t>
  </si>
  <si>
    <t>S (4)</t>
  </si>
  <si>
    <t>SS (5)</t>
  </si>
  <si>
    <t>Pertanyaan 1</t>
  </si>
  <si>
    <t>Pertanyaan 2</t>
  </si>
  <si>
    <t>Information</t>
  </si>
  <si>
    <t>Economy</t>
  </si>
  <si>
    <t>STS (1)</t>
  </si>
  <si>
    <t xml:space="preserve">TS (2) </t>
  </si>
  <si>
    <t>Control</t>
  </si>
  <si>
    <t>Efficiency</t>
  </si>
  <si>
    <t>Service</t>
  </si>
  <si>
    <t>sangat tidak setuju </t>
  </si>
  <si>
    <t>tidak setuju </t>
  </si>
  <si>
    <t xml:space="preserve"> netral </t>
  </si>
  <si>
    <t xml:space="preserve"> setuju</t>
  </si>
  <si>
    <t xml:space="preserve"> sangat setuju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</si>
</sst>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/>
    <xf numFmtId="0" fontId="3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Sheet1!$K$6:$K$11</c:f>
              <c:numCache>
                <c:formatCode>General</c:formatCode>
                <c:ptCount val="6"/>
                <c:pt idx="0">
                  <c:v>4.4000000000000004</c:v>
                </c:pt>
                <c:pt idx="1">
                  <c:v>4.05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4.1500000000000004</c:v>
                </c:pt>
                <c:pt idx="5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9-4C4C-9B77-33077CF4B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80607"/>
        <c:axId val="1573478687"/>
      </c:radarChart>
      <c:catAx>
        <c:axId val="1573480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78687"/>
        <c:crosses val="autoZero"/>
        <c:auto val="1"/>
        <c:lblAlgn val="ctr"/>
        <c:lblOffset val="100"/>
        <c:noMultiLvlLbl val="0"/>
      </c:catAx>
      <c:valAx>
        <c:axId val="15734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8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6</xdr:row>
      <xdr:rowOff>179070</xdr:rowOff>
    </xdr:from>
    <xdr:to>
      <xdr:col>19</xdr:col>
      <xdr:colOff>259080</xdr:colOff>
      <xdr:row>20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878FD-68AA-DDBA-0710-DC0D1CD75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selection activeCell="M19" sqref="M19"/>
    </sheetView>
  </sheetViews>
  <sheetFormatPr defaultRowHeight="14.4" x14ac:dyDescent="0.3"/>
  <cols>
    <col min="1" max="1" width="13.33203125" customWidth="1"/>
    <col min="16" max="16" width="18.77734375" customWidth="1"/>
  </cols>
  <sheetData>
    <row r="1" spans="1:16" ht="15.6" x14ac:dyDescent="0.3">
      <c r="A1" s="3" t="s">
        <v>0</v>
      </c>
      <c r="B1" s="1"/>
      <c r="C1" s="1"/>
      <c r="D1" s="1"/>
      <c r="E1" s="1"/>
      <c r="F1" s="1"/>
    </row>
    <row r="2" spans="1:16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N2" s="4">
        <v>1</v>
      </c>
      <c r="O2" s="4">
        <v>1.8</v>
      </c>
      <c r="P2" s="5" t="s">
        <v>16</v>
      </c>
    </row>
    <row r="3" spans="1:16" ht="31.2" x14ac:dyDescent="0.3">
      <c r="A3" s="2" t="s">
        <v>7</v>
      </c>
      <c r="B3" s="2"/>
      <c r="C3" s="2"/>
      <c r="D3" s="2">
        <v>1</v>
      </c>
      <c r="E3" s="2">
        <v>4</v>
      </c>
      <c r="F3" s="2">
        <v>5</v>
      </c>
      <c r="N3" s="4">
        <v>1.81</v>
      </c>
      <c r="O3" s="4">
        <v>2.6</v>
      </c>
      <c r="P3" s="6" t="s">
        <v>17</v>
      </c>
    </row>
    <row r="4" spans="1:16" ht="15.6" x14ac:dyDescent="0.3">
      <c r="A4" s="2" t="s">
        <v>8</v>
      </c>
      <c r="B4" s="2"/>
      <c r="C4" s="2"/>
      <c r="D4" s="2">
        <v>1</v>
      </c>
      <c r="E4" s="2">
        <v>4</v>
      </c>
      <c r="F4" s="2">
        <v>5</v>
      </c>
      <c r="N4" s="4">
        <v>2.61</v>
      </c>
      <c r="O4" s="4">
        <v>3.4</v>
      </c>
      <c r="P4" s="6" t="s">
        <v>18</v>
      </c>
    </row>
    <row r="5" spans="1:16" ht="15.6" x14ac:dyDescent="0.3">
      <c r="A5" s="2"/>
      <c r="B5" s="2"/>
      <c r="C5" s="2"/>
      <c r="D5" s="2">
        <v>2</v>
      </c>
      <c r="E5" s="2">
        <v>8</v>
      </c>
      <c r="F5" s="2">
        <v>10</v>
      </c>
      <c r="N5" s="4">
        <v>3.41</v>
      </c>
      <c r="O5" s="4">
        <v>4.2</v>
      </c>
      <c r="P5" s="6" t="s">
        <v>19</v>
      </c>
    </row>
    <row r="6" spans="1:16" ht="15.6" x14ac:dyDescent="0.3">
      <c r="A6" s="2"/>
      <c r="B6" s="2"/>
      <c r="C6" s="2"/>
      <c r="D6" s="2">
        <f>D5*3</f>
        <v>6</v>
      </c>
      <c r="E6" s="2">
        <f>E5*4</f>
        <v>32</v>
      </c>
      <c r="F6" s="2">
        <f>F5*5</f>
        <v>50</v>
      </c>
      <c r="G6">
        <f>SUM(D6:F6)</f>
        <v>88</v>
      </c>
      <c r="K6">
        <f>G6/20</f>
        <v>4.4000000000000004</v>
      </c>
      <c r="N6" s="4">
        <v>4.21</v>
      </c>
      <c r="O6" s="4">
        <v>5</v>
      </c>
      <c r="P6" s="6" t="s">
        <v>20</v>
      </c>
    </row>
    <row r="7" spans="1:16" x14ac:dyDescent="0.3">
      <c r="K7">
        <f>G14/20</f>
        <v>4.05</v>
      </c>
    </row>
    <row r="8" spans="1:16" x14ac:dyDescent="0.3">
      <c r="A8" s="1"/>
      <c r="B8" s="1"/>
      <c r="C8" s="1"/>
      <c r="D8" s="1"/>
      <c r="E8" s="1"/>
      <c r="F8" s="1"/>
      <c r="K8">
        <f>G21/20</f>
        <v>4.4000000000000004</v>
      </c>
    </row>
    <row r="9" spans="1:16" ht="15.6" x14ac:dyDescent="0.3">
      <c r="A9" s="3" t="s">
        <v>9</v>
      </c>
      <c r="B9" s="1"/>
      <c r="C9" s="1"/>
      <c r="D9" s="1"/>
      <c r="E9" s="1"/>
      <c r="F9" s="1"/>
      <c r="K9">
        <f>G29/20</f>
        <v>4.4000000000000004</v>
      </c>
    </row>
    <row r="10" spans="1:16" ht="15.6" x14ac:dyDescent="0.3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K10">
        <f>G37/20</f>
        <v>4.1500000000000004</v>
      </c>
    </row>
    <row r="11" spans="1:16" ht="15.6" x14ac:dyDescent="0.3">
      <c r="A11" s="2" t="s">
        <v>7</v>
      </c>
      <c r="B11" s="2"/>
      <c r="C11" s="2"/>
      <c r="D11" s="2">
        <v>1</v>
      </c>
      <c r="E11" s="2">
        <v>2</v>
      </c>
      <c r="F11" s="2">
        <v>7</v>
      </c>
      <c r="K11">
        <f>G45/20</f>
        <v>3.95</v>
      </c>
    </row>
    <row r="12" spans="1:16" ht="15.6" x14ac:dyDescent="0.3">
      <c r="A12" s="2" t="s">
        <v>8</v>
      </c>
      <c r="B12" s="2"/>
      <c r="C12" s="2">
        <v>2</v>
      </c>
      <c r="D12" s="2">
        <v>4</v>
      </c>
      <c r="E12" s="2">
        <v>1</v>
      </c>
      <c r="F12" s="2">
        <v>3</v>
      </c>
    </row>
    <row r="13" spans="1:16" ht="15.6" x14ac:dyDescent="0.3">
      <c r="A13" s="2"/>
      <c r="B13" s="2"/>
      <c r="C13" s="2">
        <v>2</v>
      </c>
      <c r="D13" s="2">
        <v>5</v>
      </c>
      <c r="E13" s="2">
        <v>3</v>
      </c>
      <c r="F13" s="2">
        <v>10</v>
      </c>
    </row>
    <row r="14" spans="1:16" ht="15.6" x14ac:dyDescent="0.3">
      <c r="A14" s="2"/>
      <c r="B14" s="2"/>
      <c r="C14" s="2">
        <f>C13*2</f>
        <v>4</v>
      </c>
      <c r="D14" s="2">
        <f>D13*3</f>
        <v>15</v>
      </c>
      <c r="E14" s="2">
        <f>E13*4</f>
        <v>12</v>
      </c>
      <c r="F14" s="2">
        <f>F13*5</f>
        <v>50</v>
      </c>
      <c r="G14">
        <f>SUM(C14:F14)</f>
        <v>81</v>
      </c>
    </row>
    <row r="15" spans="1:16" x14ac:dyDescent="0.3">
      <c r="A15" s="1"/>
      <c r="B15" s="1"/>
      <c r="C15" s="1"/>
      <c r="D15" s="1"/>
      <c r="E15" s="1"/>
      <c r="F15" s="1"/>
    </row>
    <row r="16" spans="1:16" ht="15.6" x14ac:dyDescent="0.3">
      <c r="A16" s="3" t="s">
        <v>10</v>
      </c>
      <c r="B16" s="1"/>
      <c r="C16" s="1"/>
      <c r="D16" s="1"/>
      <c r="E16" s="1"/>
      <c r="F16" s="1"/>
    </row>
    <row r="17" spans="1:7" ht="15.6" x14ac:dyDescent="0.3">
      <c r="A17" s="2" t="s">
        <v>1</v>
      </c>
      <c r="B17" s="2" t="s">
        <v>11</v>
      </c>
      <c r="C17" s="2" t="s">
        <v>12</v>
      </c>
      <c r="D17" s="2" t="s">
        <v>4</v>
      </c>
      <c r="E17" s="2" t="s">
        <v>5</v>
      </c>
      <c r="F17" s="2" t="s">
        <v>6</v>
      </c>
    </row>
    <row r="18" spans="1:7" ht="15.6" x14ac:dyDescent="0.3">
      <c r="A18" s="2" t="s">
        <v>7</v>
      </c>
      <c r="B18" s="2"/>
      <c r="C18" s="2"/>
      <c r="D18" s="2">
        <v>2</v>
      </c>
      <c r="E18" s="2">
        <v>2</v>
      </c>
      <c r="F18" s="2">
        <v>6</v>
      </c>
    </row>
    <row r="19" spans="1:7" ht="15.6" x14ac:dyDescent="0.3">
      <c r="A19" s="2" t="s">
        <v>8</v>
      </c>
      <c r="B19" s="2"/>
      <c r="C19" s="2"/>
      <c r="D19" s="2">
        <v>2</v>
      </c>
      <c r="E19" s="2">
        <v>2</v>
      </c>
      <c r="F19" s="2">
        <v>6</v>
      </c>
    </row>
    <row r="20" spans="1:7" ht="15.6" x14ac:dyDescent="0.3">
      <c r="A20" s="2"/>
      <c r="B20" s="2"/>
      <c r="C20" s="2"/>
      <c r="D20" s="2">
        <v>4</v>
      </c>
      <c r="E20" s="2">
        <v>4</v>
      </c>
      <c r="F20" s="2">
        <v>12</v>
      </c>
    </row>
    <row r="21" spans="1:7" ht="15.6" x14ac:dyDescent="0.3">
      <c r="A21" s="2"/>
      <c r="B21" s="2"/>
      <c r="C21" s="2"/>
      <c r="D21" s="2">
        <f>D20*3</f>
        <v>12</v>
      </c>
      <c r="E21" s="2">
        <f>E20*4</f>
        <v>16</v>
      </c>
      <c r="F21" s="2">
        <f>F20*5</f>
        <v>60</v>
      </c>
      <c r="G21">
        <f>SUM(D21:F21)</f>
        <v>88</v>
      </c>
    </row>
    <row r="24" spans="1:7" ht="15.6" x14ac:dyDescent="0.3">
      <c r="A24" s="3" t="s">
        <v>13</v>
      </c>
      <c r="B24" s="1"/>
      <c r="C24" s="1"/>
      <c r="D24" s="1"/>
      <c r="E24" s="1"/>
      <c r="F24" s="1"/>
    </row>
    <row r="25" spans="1:7" ht="15.6" x14ac:dyDescent="0.3">
      <c r="A25" s="2" t="s">
        <v>1</v>
      </c>
      <c r="B25" s="2" t="s">
        <v>11</v>
      </c>
      <c r="C25" s="2" t="s">
        <v>12</v>
      </c>
      <c r="D25" s="2" t="s">
        <v>4</v>
      </c>
      <c r="E25" s="2" t="s">
        <v>5</v>
      </c>
      <c r="F25" s="2" t="s">
        <v>6</v>
      </c>
    </row>
    <row r="26" spans="1:7" ht="15.6" x14ac:dyDescent="0.3">
      <c r="A26" s="2" t="s">
        <v>7</v>
      </c>
      <c r="B26" s="2"/>
      <c r="C26" s="2"/>
      <c r="D26" s="2">
        <v>3</v>
      </c>
      <c r="E26" s="2">
        <v>2</v>
      </c>
      <c r="F26" s="2">
        <v>5</v>
      </c>
    </row>
    <row r="27" spans="1:7" ht="15.6" x14ac:dyDescent="0.3">
      <c r="A27" s="2" t="s">
        <v>8</v>
      </c>
      <c r="B27" s="2"/>
      <c r="C27" s="2"/>
      <c r="D27" s="2"/>
      <c r="E27" s="2">
        <v>4</v>
      </c>
      <c r="F27" s="2">
        <v>6</v>
      </c>
    </row>
    <row r="28" spans="1:7" ht="15.6" x14ac:dyDescent="0.3">
      <c r="A28" s="2"/>
      <c r="B28" s="2"/>
      <c r="C28" s="2"/>
      <c r="D28" s="2">
        <v>3</v>
      </c>
      <c r="E28" s="2">
        <v>6</v>
      </c>
      <c r="F28" s="2">
        <v>11</v>
      </c>
    </row>
    <row r="29" spans="1:7" ht="15.6" x14ac:dyDescent="0.3">
      <c r="A29" s="2"/>
      <c r="B29" s="2"/>
      <c r="C29" s="2"/>
      <c r="D29" s="2">
        <f>D28*3</f>
        <v>9</v>
      </c>
      <c r="E29" s="2">
        <f>E28*4</f>
        <v>24</v>
      </c>
      <c r="F29" s="2">
        <f>F28*5</f>
        <v>55</v>
      </c>
      <c r="G29">
        <f>SUM(D29:F29)</f>
        <v>88</v>
      </c>
    </row>
    <row r="32" spans="1:7" ht="15.6" x14ac:dyDescent="0.3">
      <c r="A32" s="3" t="s">
        <v>14</v>
      </c>
      <c r="B32" s="1"/>
      <c r="C32" s="1"/>
      <c r="D32" s="1"/>
      <c r="E32" s="1"/>
      <c r="F32" s="1"/>
    </row>
    <row r="33" spans="1:7" ht="15.6" x14ac:dyDescent="0.3">
      <c r="A33" s="2" t="s">
        <v>1</v>
      </c>
      <c r="B33" s="2" t="s">
        <v>11</v>
      </c>
      <c r="C33" s="2" t="s">
        <v>12</v>
      </c>
      <c r="D33" s="2" t="s">
        <v>4</v>
      </c>
      <c r="E33" s="2" t="s">
        <v>5</v>
      </c>
      <c r="F33" s="2" t="s">
        <v>6</v>
      </c>
    </row>
    <row r="34" spans="1:7" ht="15.6" x14ac:dyDescent="0.3">
      <c r="A34" s="2" t="s">
        <v>7</v>
      </c>
      <c r="B34" s="2"/>
      <c r="C34" s="2">
        <v>1</v>
      </c>
      <c r="D34" s="2">
        <v>1</v>
      </c>
      <c r="E34" s="2">
        <v>1</v>
      </c>
      <c r="F34" s="2">
        <v>7</v>
      </c>
    </row>
    <row r="35" spans="1:7" ht="15.6" x14ac:dyDescent="0.3">
      <c r="A35" s="2" t="s">
        <v>8</v>
      </c>
      <c r="B35" s="2"/>
      <c r="C35" s="2"/>
      <c r="D35" s="2">
        <v>5</v>
      </c>
      <c r="E35" s="2">
        <v>1</v>
      </c>
      <c r="F35" s="2">
        <v>4</v>
      </c>
    </row>
    <row r="36" spans="1:7" ht="15.6" x14ac:dyDescent="0.3">
      <c r="A36" s="2"/>
      <c r="B36" s="2"/>
      <c r="C36" s="2">
        <v>1</v>
      </c>
      <c r="D36" s="2">
        <v>6</v>
      </c>
      <c r="E36" s="2">
        <v>2</v>
      </c>
      <c r="F36" s="2">
        <v>11</v>
      </c>
    </row>
    <row r="37" spans="1:7" ht="15.6" x14ac:dyDescent="0.3">
      <c r="A37" s="2"/>
      <c r="B37" s="2"/>
      <c r="C37" s="2">
        <f>C36*2</f>
        <v>2</v>
      </c>
      <c r="D37" s="2">
        <f>D36*3</f>
        <v>18</v>
      </c>
      <c r="E37" s="2">
        <f>2*4</f>
        <v>8</v>
      </c>
      <c r="F37" s="2">
        <f>11*5</f>
        <v>55</v>
      </c>
      <c r="G37">
        <f>SUM(C37:F37)</f>
        <v>83</v>
      </c>
    </row>
    <row r="40" spans="1:7" ht="15.6" x14ac:dyDescent="0.3">
      <c r="A40" s="3" t="s">
        <v>15</v>
      </c>
      <c r="B40" s="1"/>
      <c r="C40" s="1"/>
      <c r="D40" s="1"/>
      <c r="E40" s="1"/>
      <c r="F40" s="1"/>
    </row>
    <row r="41" spans="1:7" ht="15.6" x14ac:dyDescent="0.3">
      <c r="A41" s="2" t="s">
        <v>1</v>
      </c>
      <c r="B41" s="2" t="s">
        <v>11</v>
      </c>
      <c r="C41" s="2" t="s">
        <v>12</v>
      </c>
      <c r="D41" s="2" t="s">
        <v>4</v>
      </c>
      <c r="E41" s="2" t="s">
        <v>5</v>
      </c>
      <c r="F41" s="2" t="s">
        <v>6</v>
      </c>
    </row>
    <row r="42" spans="1:7" ht="15.6" x14ac:dyDescent="0.3">
      <c r="A42" s="2" t="s">
        <v>7</v>
      </c>
      <c r="B42" s="2"/>
      <c r="C42" s="2"/>
      <c r="D42" s="2">
        <v>3</v>
      </c>
      <c r="E42" s="2">
        <v>3</v>
      </c>
      <c r="F42" s="2">
        <v>4</v>
      </c>
    </row>
    <row r="43" spans="1:7" ht="15.6" x14ac:dyDescent="0.3">
      <c r="A43" s="2" t="s">
        <v>8</v>
      </c>
      <c r="B43" s="2"/>
      <c r="C43" s="2"/>
      <c r="D43" s="2">
        <v>4</v>
      </c>
      <c r="E43" s="2">
        <v>4</v>
      </c>
      <c r="F43" s="2">
        <v>2</v>
      </c>
    </row>
    <row r="44" spans="1:7" ht="15.6" x14ac:dyDescent="0.3">
      <c r="A44" s="2"/>
      <c r="B44" s="2"/>
      <c r="C44" s="2"/>
      <c r="D44" s="2">
        <v>7</v>
      </c>
      <c r="E44" s="2">
        <v>7</v>
      </c>
      <c r="F44" s="2">
        <v>6</v>
      </c>
    </row>
    <row r="45" spans="1:7" ht="15.6" x14ac:dyDescent="0.3">
      <c r="A45" s="2"/>
      <c r="B45" s="2"/>
      <c r="C45" s="2"/>
      <c r="D45" s="2">
        <f>D44*3</f>
        <v>21</v>
      </c>
      <c r="E45" s="2">
        <f>E44*4</f>
        <v>28</v>
      </c>
      <c r="F45" s="2">
        <f>F44*5</f>
        <v>30</v>
      </c>
      <c r="G45">
        <f>SUM(D45:F45)</f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Hariyanti</dc:creator>
  <cp:lastModifiedBy>Ayu Hariyanti</cp:lastModifiedBy>
  <dcterms:created xsi:type="dcterms:W3CDTF">2015-06-05T18:17:20Z</dcterms:created>
  <dcterms:modified xsi:type="dcterms:W3CDTF">2026-05-31T15:01:07Z</dcterms:modified>
</cp:coreProperties>
</file>